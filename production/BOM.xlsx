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\Desktop\Files\Programmioong\Hardware Design\sqrt(pc)\sqrt(pc)\"/>
    </mc:Choice>
  </mc:AlternateContent>
  <xr:revisionPtr revIDLastSave="0" documentId="8_{99DA2EED-02EC-4D8D-8857-37F8C9A61E88}" xr6:coauthVersionLast="47" xr6:coauthVersionMax="47" xr10:uidLastSave="{00000000-0000-0000-0000-000000000000}"/>
  <bookViews>
    <workbookView xWindow="5355" yWindow="-16320" windowWidth="29040" windowHeight="16440" xr2:uid="{66FB8274-75A7-491B-9473-23F8DB203EF1}"/>
  </bookViews>
  <sheets>
    <sheet name="BOM" sheetId="1" r:id="rId1"/>
  </sheets>
  <calcPr calcId="0"/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<sst xmlns="http://schemas.openxmlformats.org/spreadsheetml/2006/main" count="92" uniqueCount="89">
  <si>
    <t>Reference</t>
  </si>
  <si>
    <t>Qty</t>
  </si>
  <si>
    <t>Value</t>
  </si>
  <si>
    <t>Footprint</t>
  </si>
  <si>
    <t>Purchase-URL</t>
  </si>
  <si>
    <t>C46</t>
  </si>
  <si>
    <t>100nF</t>
  </si>
  <si>
    <t>C315C104K5R5TA:CAPRR254W54L381T254H466B</t>
  </si>
  <si>
    <t>D1,D2,D3,D5,D6,D7</t>
  </si>
  <si>
    <t>~</t>
  </si>
  <si>
    <t>ScottoKeebs_Components:Diode_DO-35</t>
  </si>
  <si>
    <t>D4</t>
  </si>
  <si>
    <t>LED_ARBG</t>
  </si>
  <si>
    <t>LED_SMD:LED_Kingbright_AAA3528ESGCT</t>
  </si>
  <si>
    <t>D9,D10,D11,D12,D13,D14</t>
  </si>
  <si>
    <t>LED_SK6812MINI</t>
  </si>
  <si>
    <t>ScottoKeebs_Components:LED_SK6812MINI</t>
  </si>
  <si>
    <t>DS1</t>
  </si>
  <si>
    <t>4311:MODULE_4311</t>
  </si>
  <si>
    <t>J1</t>
  </si>
  <si>
    <t>Conn_01x02</t>
  </si>
  <si>
    <t>Connector_Molex:Molex_PicoBlade_53048-0210_1x02_P1.25mm_Horizontal</t>
  </si>
  <si>
    <t>Q1</t>
  </si>
  <si>
    <t>AO3401A</t>
  </si>
  <si>
    <t>Package_TO_SOT_SMD:SOT-23W_Handsoldering</t>
  </si>
  <si>
    <t>R2</t>
  </si>
  <si>
    <t>FMP100JR-52-2K2</t>
  </si>
  <si>
    <t>KiCADv6:FMP100JR_52_2K2</t>
  </si>
  <si>
    <t>R3,R4</t>
  </si>
  <si>
    <t>MFR-25FBF52-1K</t>
  </si>
  <si>
    <t>MFR-25FBF52-1K:RESAD1100W55L680D260</t>
  </si>
  <si>
    <t>R5,R6</t>
  </si>
  <si>
    <t>RNC55H1002FMRE7</t>
  </si>
  <si>
    <t>RNC55H1002FMRE7:RESAD1081W64L635D269</t>
  </si>
  <si>
    <t>RN1</t>
  </si>
  <si>
    <t>CAY16-1003F4LF</t>
  </si>
  <si>
    <t>CAY16-1003F4LF:RESCAF80P320X160X60-8N</t>
  </si>
  <si>
    <t>S1,S2,S3,S5,S6,S7</t>
  </si>
  <si>
    <t>Button_Switch_Keyboard:SW_Cherry_MX_1.00u_PCB</t>
  </si>
  <si>
    <t>S8</t>
  </si>
  <si>
    <t>PTS526_SMG15_SMTR2_LFS</t>
  </si>
  <si>
    <t>PTS526_SMG15_SMTR2_LFS:SW_PTS526_SMG15_SMTR2_LFS</t>
  </si>
  <si>
    <t>U1</t>
  </si>
  <si>
    <t>WEMOSC3mini</t>
  </si>
  <si>
    <t>RF_Module:WEMOS_C3_mini</t>
  </si>
  <si>
    <t>U2</t>
  </si>
  <si>
    <t>TP4056-42-ESOP8</t>
  </si>
  <si>
    <t>Package_SO:SOIC-8-1EP_3.9x4.9mm_P1.27mm_EP2.41x3.3mm</t>
  </si>
  <si>
    <t>Notes</t>
  </si>
  <si>
    <t>Screen</t>
  </si>
  <si>
    <t>Label</t>
  </si>
  <si>
    <t>https://www.aliexpress.com/item/1005009447193931.html</t>
  </si>
  <si>
    <t>https://www.aliexpress.com/item/32807183020.html</t>
  </si>
  <si>
    <t>https://au.mouser.com/ProductDetail/YAGEO/MFR-25FTF52-1K47?qs=gt1LBUVyoHl4e3xmkemLyA%3D%3D</t>
  </si>
  <si>
    <t>Can only get 50 min</t>
  </si>
  <si>
    <t>https://www.aliexpress.com/item/1005008934110148.html</t>
  </si>
  <si>
    <t>Can only get 10 min</t>
  </si>
  <si>
    <t>Power Circuit - 1.47 kOhms Resistor</t>
  </si>
  <si>
    <t>https://www.jaycar.com.au/10k-ohm-0-5-watt-metal-film-resistors-pack-of-8/p/RR0596?srsltid=AfmBOooZybZRjXbsL3loWYFdbOO8xv4_Spoyh16NfgIc8Q6pRosaol9-</t>
  </si>
  <si>
    <t>Power Circuit - 10kOhm Resistor</t>
  </si>
  <si>
    <t xml:space="preserve">Can only get in a 8 pack for this cheap </t>
  </si>
  <si>
    <t>Price ($AUD unless marked)</t>
  </si>
  <si>
    <t>https://au.mouser.com/ProductDetail/Bourns/CAY16-1003F4LF?qs=T7l%2FPuJnbcT4dvX5HXX74Q%3D%3D&amp;srsltid=AfmBOoqqP7U5jdrc4c8albsdljesYeuMQMlg74Kuni7se9EsMJJ111ZA</t>
  </si>
  <si>
    <t>Power Circuit - 4 100kOhm Resistors</t>
  </si>
  <si>
    <t>N/A</t>
  </si>
  <si>
    <t>Keyswitches</t>
  </si>
  <si>
    <t>I own these already</t>
  </si>
  <si>
    <t>https://au.mouser.com/ProductDetail/CK/PTS526SMG15SMTR2-LFS?qs=Imq1NPwxi76tu1Vo5JUXUg%3D%3D</t>
  </si>
  <si>
    <t>Power Button</t>
  </si>
  <si>
    <t>Microcontroller</t>
  </si>
  <si>
    <t>Does not come with pin headers</t>
  </si>
  <si>
    <t>https://www.aliexpress.com/item/1005004740051202.html</t>
  </si>
  <si>
    <t>https://core-electronics.com.au/header-male-pin-01x20.html</t>
  </si>
  <si>
    <t>Microcontroller Pin Headers</t>
  </si>
  <si>
    <t>Not in KiCad</t>
  </si>
  <si>
    <t>https://au.mouser.com/ProductDetail/YAGEO/FMP100JR-52-2K2?qs=wcZjbqjoJegNfVYDP1qQwg%3D%3D</t>
  </si>
  <si>
    <t>Power Circuit - 2.2kOhm Resistor</t>
  </si>
  <si>
    <t>RGB LEDs</t>
  </si>
  <si>
    <t>Diodes for the Keyswitch array</t>
  </si>
  <si>
    <t>LED for battery status</t>
  </si>
  <si>
    <t>Battery Connector</t>
  </si>
  <si>
    <t>Power Circuit - 100nF Capacitor</t>
  </si>
  <si>
    <t>Power Circuit - P-Channel MOSFET - Power Latch</t>
  </si>
  <si>
    <t>https://www.lcsc.com/product-detail/C16581.html</t>
  </si>
  <si>
    <t>Power Circuit - IC</t>
  </si>
  <si>
    <t>https://au.mouser.com/ProductDetail/Kingbright/AAA3528ESGCT?qs=HXFqYaX1Q2ztii0bK20PQg%3D%3D</t>
  </si>
  <si>
    <t>https://au.mouser.com/ProductDetail/KEMET/C315C104K5R5TA?qs=AHmto%252BvZ7OG2Mx7li%2Fn8YQ%3D%3D</t>
  </si>
  <si>
    <t>Price in AUD, purchased in USD - rough conversion rate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</si>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</sst>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_-[$$-409]* #,##0.00_ ;_-[$$-409]* \-#,##0.00\ ;_-[$$-409]* &quot;-&quot;??_ ;_-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44" fontId="0" fillId="0" borderId="0" xfId="1" applyFont="1" applyAlignment="1">
      <alignment wrapText="1"/>
    </xf>
    <xf numFmtId="165" fontId="0" fillId="0" borderId="0" xfId="1" applyNumberFormat="1" applyFont="1" applyAlignment="1">
      <alignment wrapText="1"/>
    </xf>
    <xf numFmtId="0" fontId="0" fillId="34" borderId="0" xfId="0" applyFill="1" applyAlignment="1">
      <alignment wrapText="1"/>
    </xf>
    <xf numFmtId="44" fontId="0" fillId="34" borderId="0" xfId="1" applyFont="1" applyFill="1" applyAlignment="1">
      <alignment wrapText="1"/>
    </xf>
    <xf numFmtId="0" fontId="0" fillId="34" borderId="0" xfId="0" applyFill="1"/>
    <xf numFmtId="44" fontId="0" fillId="34" borderId="0" xfId="1" applyFont="1" applyFill="1"/>
    <xf numFmtId="0" fontId="0" fillId="35" borderId="0" xfId="0" applyFill="1" applyAlignment="1">
      <alignment wrapText="1"/>
    </xf>
    <xf numFmtId="44" fontId="0" fillId="35" borderId="0" xfId="1" applyFont="1" applyFill="1" applyAlignment="1">
      <alignment wrapText="1"/>
    </xf>
    <xf numFmtId="0" fontId="18" fillId="35" borderId="0" xfId="43" applyFill="1" applyAlignment="1">
      <alignment wrapText="1"/>
    </xf>
    <xf numFmtId="0" fontId="0" fillId="35" borderId="0" xfId="0" applyFill="1"/>
    <xf numFmtId="0" fontId="0" fillId="33" borderId="0" xfId="0" applyFill="1" applyAlignment="1">
      <alignment wrapText="1"/>
    </xf>
    <xf numFmtId="165" fontId="0" fillId="33" borderId="0" xfId="0" applyNumberFormat="1" applyFill="1"/>
    <xf numFmtId="44" fontId="0" fillId="36" borderId="0" xfId="1" applyFont="1" applyFill="1" applyAlignment="1">
      <alignment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item/100500944719393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CF39-7F61-4901-9952-62469C21746F}">
  <dimension ref="A1:H19"/>
  <sheetViews>
    <sheetView tabSelected="1" topLeftCell="A5" workbookViewId="0">
      <selection activeCell="E16" sqref="E16"/>
    </sheetView>
  </sheetViews>
  <sheetFormatPr defaultRowHeight="15" x14ac:dyDescent="0.25"/>
  <cols>
    <col min="1" max="1" width="13.7109375" customWidth="1"/>
    <col min="3" max="3" width="27.5703125" customWidth="1"/>
    <col min="4" max="4" width="32" customWidth="1"/>
    <col min="5" max="5" width="34.28515625" customWidth="1"/>
    <col min="6" max="6" width="57.7109375" customWidth="1"/>
    <col min="7" max="7" width="71.7109375" customWidth="1"/>
    <col min="8" max="8" width="21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4</v>
      </c>
      <c r="G1" s="1" t="s">
        <v>50</v>
      </c>
      <c r="H1" s="1" t="s">
        <v>48</v>
      </c>
    </row>
    <row r="2" spans="1:8" ht="30" x14ac:dyDescent="0.25">
      <c r="A2" s="1" t="s">
        <v>5</v>
      </c>
      <c r="B2" s="1">
        <v>1</v>
      </c>
      <c r="C2" s="1" t="s">
        <v>6</v>
      </c>
      <c r="D2" s="1" t="s">
        <v>7</v>
      </c>
      <c r="E2" s="3">
        <v>0.7</v>
      </c>
      <c r="F2" s="1" t="s">
        <v>86</v>
      </c>
      <c r="G2" s="1" t="s">
        <v>81</v>
      </c>
    </row>
    <row r="3" spans="1:8" ht="30" x14ac:dyDescent="0.25">
      <c r="A3" s="1" t="s">
        <v>8</v>
      </c>
      <c r="B3" s="1">
        <v>6</v>
      </c>
      <c r="C3" s="1" t="s">
        <v>9</v>
      </c>
      <c r="D3" s="1" t="s">
        <v>10</v>
      </c>
      <c r="E3" s="2">
        <v>0</v>
      </c>
      <c r="F3" s="1" t="s">
        <v>64</v>
      </c>
      <c r="G3" s="1" t="s">
        <v>78</v>
      </c>
    </row>
    <row r="4" spans="1:8" ht="30" x14ac:dyDescent="0.25">
      <c r="A4" s="1" t="s">
        <v>11</v>
      </c>
      <c r="B4" s="1">
        <v>1</v>
      </c>
      <c r="C4" s="1" t="s">
        <v>12</v>
      </c>
      <c r="D4" s="1" t="s">
        <v>13</v>
      </c>
      <c r="E4" s="2">
        <v>0.74</v>
      </c>
      <c r="F4" s="1" t="s">
        <v>85</v>
      </c>
      <c r="G4" s="1" t="s">
        <v>79</v>
      </c>
    </row>
    <row r="5" spans="1:8" s="6" customFormat="1" ht="30" x14ac:dyDescent="0.25">
      <c r="A5" s="4" t="s">
        <v>14</v>
      </c>
      <c r="B5" s="4">
        <v>6</v>
      </c>
      <c r="C5" s="4" t="s">
        <v>15</v>
      </c>
      <c r="D5" s="4" t="s">
        <v>16</v>
      </c>
      <c r="E5" s="5">
        <v>0</v>
      </c>
      <c r="F5" s="4" t="s">
        <v>64</v>
      </c>
      <c r="G5" s="4" t="s">
        <v>77</v>
      </c>
    </row>
    <row r="6" spans="1:8" s="11" customFormat="1" x14ac:dyDescent="0.25">
      <c r="A6" s="8" t="s">
        <v>17</v>
      </c>
      <c r="B6" s="8">
        <v>1</v>
      </c>
      <c r="C6" s="8">
        <v>4311</v>
      </c>
      <c r="D6" s="8" t="s">
        <v>18</v>
      </c>
      <c r="E6" s="9">
        <v>9.3699999999999992</v>
      </c>
      <c r="F6" s="10" t="s">
        <v>51</v>
      </c>
      <c r="G6" s="8" t="s">
        <v>49</v>
      </c>
    </row>
    <row r="7" spans="1:8" s="6" customFormat="1" ht="45" x14ac:dyDescent="0.25">
      <c r="A7" s="4" t="s">
        <v>19</v>
      </c>
      <c r="B7" s="4">
        <v>1</v>
      </c>
      <c r="C7" s="4" t="s">
        <v>20</v>
      </c>
      <c r="D7" s="4" t="s">
        <v>21</v>
      </c>
      <c r="E7" s="5">
        <v>3.76</v>
      </c>
      <c r="F7" s="4" t="s">
        <v>52</v>
      </c>
      <c r="G7" s="4" t="s">
        <v>80</v>
      </c>
      <c r="H7" s="4" t="s">
        <v>54</v>
      </c>
    </row>
    <row r="8" spans="1:8" s="11" customFormat="1" ht="30" x14ac:dyDescent="0.25">
      <c r="A8" s="8" t="s">
        <v>22</v>
      </c>
      <c r="B8" s="8">
        <v>1</v>
      </c>
      <c r="C8" s="8" t="s">
        <v>23</v>
      </c>
      <c r="D8" s="8" t="s">
        <v>24</v>
      </c>
      <c r="E8" s="9">
        <v>0.97</v>
      </c>
      <c r="F8" s="8" t="s">
        <v>55</v>
      </c>
      <c r="G8" s="8" t="s">
        <v>82</v>
      </c>
      <c r="H8" s="8" t="s">
        <v>56</v>
      </c>
    </row>
    <row r="9" spans="1:8" s="6" customFormat="1" ht="30" x14ac:dyDescent="0.25">
      <c r="A9" s="4" t="s">
        <v>25</v>
      </c>
      <c r="B9" s="4">
        <v>1</v>
      </c>
      <c r="C9" s="4" t="s">
        <v>26</v>
      </c>
      <c r="D9" s="4" t="s">
        <v>27</v>
      </c>
      <c r="E9" s="5">
        <v>0.19</v>
      </c>
      <c r="F9" s="4" t="s">
        <v>75</v>
      </c>
      <c r="G9" s="4" t="s">
        <v>76</v>
      </c>
    </row>
    <row r="10" spans="1:8" s="11" customFormat="1" ht="30" x14ac:dyDescent="0.25">
      <c r="A10" s="8" t="s">
        <v>28</v>
      </c>
      <c r="B10" s="8">
        <v>2</v>
      </c>
      <c r="C10" s="8" t="s">
        <v>29</v>
      </c>
      <c r="D10" s="8" t="s">
        <v>30</v>
      </c>
      <c r="E10" s="9">
        <v>0.31</v>
      </c>
      <c r="F10" s="8" t="s">
        <v>53</v>
      </c>
      <c r="G10" s="8" t="s">
        <v>57</v>
      </c>
    </row>
    <row r="11" spans="1:8" s="6" customFormat="1" ht="60" x14ac:dyDescent="0.25">
      <c r="A11" s="4" t="s">
        <v>31</v>
      </c>
      <c r="B11" s="4">
        <v>2</v>
      </c>
      <c r="C11" s="4" t="s">
        <v>32</v>
      </c>
      <c r="D11" s="4" t="s">
        <v>33</v>
      </c>
      <c r="E11" s="5">
        <v>0.85</v>
      </c>
      <c r="F11" s="4" t="s">
        <v>58</v>
      </c>
      <c r="G11" s="4" t="s">
        <v>59</v>
      </c>
      <c r="H11" s="4" t="s">
        <v>60</v>
      </c>
    </row>
    <row r="12" spans="1:8" s="11" customFormat="1" ht="60" x14ac:dyDescent="0.25">
      <c r="A12" s="8" t="s">
        <v>34</v>
      </c>
      <c r="B12" s="8">
        <v>1</v>
      </c>
      <c r="C12" s="8" t="s">
        <v>35</v>
      </c>
      <c r="D12" s="8" t="s">
        <v>36</v>
      </c>
      <c r="E12" s="9">
        <v>0.15</v>
      </c>
      <c r="F12" s="8" t="s">
        <v>62</v>
      </c>
      <c r="G12" s="8" t="s">
        <v>63</v>
      </c>
    </row>
    <row r="13" spans="1:8" s="6" customFormat="1" ht="30" x14ac:dyDescent="0.25">
      <c r="A13" s="4" t="s">
        <v>37</v>
      </c>
      <c r="B13" s="4">
        <v>6</v>
      </c>
      <c r="C13" s="4" t="s">
        <v>9</v>
      </c>
      <c r="D13" s="4" t="s">
        <v>38</v>
      </c>
      <c r="E13" s="5">
        <v>0</v>
      </c>
      <c r="F13" s="4" t="s">
        <v>64</v>
      </c>
      <c r="G13" s="4" t="s">
        <v>65</v>
      </c>
      <c r="H13" s="4" t="s">
        <v>66</v>
      </c>
    </row>
    <row r="14" spans="1:8" s="11" customFormat="1" ht="30" x14ac:dyDescent="0.25">
      <c r="A14" s="8" t="s">
        <v>39</v>
      </c>
      <c r="B14" s="8">
        <v>1</v>
      </c>
      <c r="C14" s="8" t="s">
        <v>40</v>
      </c>
      <c r="D14" s="8" t="s">
        <v>41</v>
      </c>
      <c r="E14" s="9">
        <v>0.24</v>
      </c>
      <c r="F14" s="8" t="s">
        <v>67</v>
      </c>
      <c r="G14" s="8" t="s">
        <v>68</v>
      </c>
    </row>
    <row r="15" spans="1:8" s="6" customFormat="1" ht="30" x14ac:dyDescent="0.25">
      <c r="A15" s="4" t="s">
        <v>42</v>
      </c>
      <c r="B15" s="4">
        <v>1</v>
      </c>
      <c r="C15" s="4" t="s">
        <v>43</v>
      </c>
      <c r="D15" s="4" t="s">
        <v>44</v>
      </c>
      <c r="E15" s="5">
        <v>8.94</v>
      </c>
      <c r="F15" s="4" t="s">
        <v>71</v>
      </c>
      <c r="G15" s="4" t="s">
        <v>69</v>
      </c>
      <c r="H15" s="4" t="s">
        <v>70</v>
      </c>
    </row>
    <row r="16" spans="1:8" s="11" customFormat="1" ht="45" x14ac:dyDescent="0.25">
      <c r="A16" s="8" t="s">
        <v>45</v>
      </c>
      <c r="B16" s="8">
        <v>1</v>
      </c>
      <c r="C16" s="8" t="s">
        <v>46</v>
      </c>
      <c r="D16" s="8" t="s">
        <v>47</v>
      </c>
      <c r="E16" s="14">
        <v>1.44</v>
      </c>
      <c r="F16" s="8" t="s">
        <v>83</v>
      </c>
      <c r="G16" s="8" t="s">
        <v>84</v>
      </c>
      <c r="H16" s="8" t="s">
        <v>87</v>
      </c>
    </row>
    <row r="17" spans="1:8" s="6" customFormat="1" x14ac:dyDescent="0.25">
      <c r="B17" s="4">
        <v>2</v>
      </c>
      <c r="E17" s="7">
        <v>0.35</v>
      </c>
      <c r="F17" s="6" t="s">
        <v>72</v>
      </c>
      <c r="G17" s="4" t="s">
        <v>73</v>
      </c>
      <c r="H17" s="6" t="s">
        <v>74</v>
      </c>
    </row>
    <row r="19" spans="1:8" x14ac:dyDescent="0.25">
      <c r="A19" s="12" t="s">
        <v>88</v>
      </c>
      <c r="B19" s="13">
        <f>SUM(E2:E17)</f>
        <v>28.01</v>
      </c>
    </row>
  </sheetData>
  <hyperlinks>
    <hyperlink ref="F6" r:id="rId1" xr:uid="{218EB244-704A-4714-AC7B-DA4E7FE756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Sheppard</cp:lastModifiedBy>
  <dcterms:created xsi:type="dcterms:W3CDTF">2026-03-23T07:08:13Z</dcterms:created>
  <dcterms:modified xsi:type="dcterms:W3CDTF">2026-03-23T07:08:13Z</dcterms:modified>
</cp:coreProperties>
</file>